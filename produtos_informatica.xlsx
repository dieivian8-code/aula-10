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rmer_zhiux82\OneDrive\Desktop\"/>
    </mc:Choice>
  </mc:AlternateContent>
  <xr:revisionPtr revIDLastSave="0" documentId="8_{EF708951-AB85-420A-BBC7-F04CBCD920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tos" sheetId="1" r:id="rId1"/>
    <sheet name="Resum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</calcChain>
</file>

<file path=xl/sharedStrings.xml><?xml version="1.0" encoding="utf-8"?>
<sst xmlns="http://schemas.openxmlformats.org/spreadsheetml/2006/main" count="170" uniqueCount="101">
  <si>
    <t>Código</t>
  </si>
  <si>
    <t>Produto</t>
  </si>
  <si>
    <t>Categoria</t>
  </si>
  <si>
    <t>Quantidade</t>
  </si>
  <si>
    <t>Valor Unitário</t>
  </si>
  <si>
    <t>Teclado USB</t>
  </si>
  <si>
    <t>Periféricos</t>
  </si>
  <si>
    <t>Teclado Gamer RGB</t>
  </si>
  <si>
    <t>Mouse USB</t>
  </si>
  <si>
    <t>Mouse Gamer</t>
  </si>
  <si>
    <t>Mouse sem fio</t>
  </si>
  <si>
    <t>Mousepad básico</t>
  </si>
  <si>
    <t>Acessórios</t>
  </si>
  <si>
    <t>Mousepad gamer</t>
  </si>
  <si>
    <t>Headset com microfone</t>
  </si>
  <si>
    <t>Fone de ouvido Bluetooth</t>
  </si>
  <si>
    <t>Webcam HD</t>
  </si>
  <si>
    <t>Webcam Full HD</t>
  </si>
  <si>
    <t>Microfone USB</t>
  </si>
  <si>
    <t>Caixa de som USB</t>
  </si>
  <si>
    <t>Monitor LED 19"</t>
  </si>
  <si>
    <t>Monitores</t>
  </si>
  <si>
    <t>Monitor LED 21"</t>
  </si>
  <si>
    <t>Monitor LED 24"</t>
  </si>
  <si>
    <t>Monitor Gamer 144Hz</t>
  </si>
  <si>
    <t>Monitor Ultrawide</t>
  </si>
  <si>
    <t>Notebook básico</t>
  </si>
  <si>
    <t>Computadores</t>
  </si>
  <si>
    <t>Notebook i5</t>
  </si>
  <si>
    <t>Notebook i7</t>
  </si>
  <si>
    <t>Notebook gamer</t>
  </si>
  <si>
    <t>Computador desktop completo</t>
  </si>
  <si>
    <t>Mini PC</t>
  </si>
  <si>
    <t>Placa-mãe básica</t>
  </si>
  <si>
    <t>Componentes</t>
  </si>
  <si>
    <t>Placa-mãe gamer</t>
  </si>
  <si>
    <t>Processador Intel i3</t>
  </si>
  <si>
    <t>Processador Intel i5</t>
  </si>
  <si>
    <t>Processador Intel i7</t>
  </si>
  <si>
    <t>Processador Ryzen 5</t>
  </si>
  <si>
    <t>Processador Ryzen 7</t>
  </si>
  <si>
    <t>Memória RAM 4GB</t>
  </si>
  <si>
    <t>Memória RAM 8GB</t>
  </si>
  <si>
    <t>Memória RAM 16GB</t>
  </si>
  <si>
    <t>Placa de vídeo 4GB</t>
  </si>
  <si>
    <t>Placa de vídeo 8GB</t>
  </si>
  <si>
    <t>Fonte 400W</t>
  </si>
  <si>
    <t>Fonte 500W</t>
  </si>
  <si>
    <t>Fonte 750W</t>
  </si>
  <si>
    <t>Cooler para processador</t>
  </si>
  <si>
    <t>Water cooler</t>
  </si>
  <si>
    <t>HD 500GB</t>
  </si>
  <si>
    <t>Armazenamento</t>
  </si>
  <si>
    <t>HD 1TB</t>
  </si>
  <si>
    <t>HD 2TB</t>
  </si>
  <si>
    <t>SSD 120GB</t>
  </si>
  <si>
    <t>SSD 240GB</t>
  </si>
  <si>
    <t>SSD 480GB</t>
  </si>
  <si>
    <t>SSD 1TB</t>
  </si>
  <si>
    <t>SSD NVMe 512GB</t>
  </si>
  <si>
    <t>SSD NVMe 1TB</t>
  </si>
  <si>
    <t>Pen drive 16GB</t>
  </si>
  <si>
    <t>Pen drive 32GB</t>
  </si>
  <si>
    <t>Pen drive 64GB</t>
  </si>
  <si>
    <t>Cartão de memória 32GB</t>
  </si>
  <si>
    <t>Roteador Wi-Fi</t>
  </si>
  <si>
    <t>Redes</t>
  </si>
  <si>
    <t>Roteador Dual Band</t>
  </si>
  <si>
    <t>Switch 8 portas</t>
  </si>
  <si>
    <t>Cabo de rede</t>
  </si>
  <si>
    <t>Adaptador Wi-Fi USB</t>
  </si>
  <si>
    <t>Cabo HDMI</t>
  </si>
  <si>
    <t>Cabo VGA</t>
  </si>
  <si>
    <t>Cabo DisplayPort</t>
  </si>
  <si>
    <t>Hub USB</t>
  </si>
  <si>
    <t>Adaptador USB-C</t>
  </si>
  <si>
    <t>Base para notebook</t>
  </si>
  <si>
    <t>Suporte para monitor</t>
  </si>
  <si>
    <t>Estabilizador</t>
  </si>
  <si>
    <t>Energia</t>
  </si>
  <si>
    <t>Nobreak</t>
  </si>
  <si>
    <t>Limpa contato</t>
  </si>
  <si>
    <t>Manutenção</t>
  </si>
  <si>
    <t>Pasta térmica</t>
  </si>
  <si>
    <t>Resumo da planilha de produtos de informática</t>
  </si>
  <si>
    <t>Indicador</t>
  </si>
  <si>
    <t>Fórmula</t>
  </si>
  <si>
    <t>Total em estoque (valor)</t>
  </si>
  <si>
    <t>Média de preço</t>
  </si>
  <si>
    <t>Maior preço</t>
  </si>
  <si>
    <t>Menor preço</t>
  </si>
  <si>
    <t>Quantidade de itens cadastrados</t>
  </si>
  <si>
    <t>Formular | Função</t>
  </si>
  <si>
    <t>Total em estoque</t>
  </si>
  <si>
    <t>valor</t>
  </si>
  <si>
    <t>Controle de produtos (SOMASE)</t>
  </si>
  <si>
    <t>Digite o código abaixo para buscar as informações do item:</t>
  </si>
  <si>
    <t>Código digitado</t>
  </si>
  <si>
    <t>Estoque</t>
  </si>
  <si>
    <t>Valor</t>
  </si>
  <si>
    <t>Busca de Produto (PROCV)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</si>
</sst>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>
    <font>
      <sz val="11"/>
      <name val="Carlito"/>
    </font>
    <font>
      <b/>
      <sz val="11"/>
      <color rgb="FF1F4E78"/>
      <name val="Carlito"/>
    </font>
    <font>
      <sz val="11"/>
      <name val="Carlito"/>
    </font>
    <font>
      <b/>
      <sz val="12"/>
      <color theme="0"/>
      <name val="Carlito"/>
    </font>
    <font>
      <i/>
      <sz val="11"/>
      <color rgb="FF1F1F1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9EAF7"/>
      </patternFill>
    </fill>
    <fill>
      <patternFill patternType="solid">
        <fgColor rgb="FFEAF2F8"/>
      </patternFill>
    </fill>
    <fill>
      <patternFill patternType="solid">
        <fgColor rgb="FFFFF2CC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7">
    <xf numFmtId="0" fontId="0" fillId="0" borderId="0" xfId="0"/>
    <xf numFmtId="0" fontId="1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0" xfId="0" applyAlignment="1">
      <alignment horizontal="left"/>
    </xf>
    <xf numFmtId="0" fontId="0" fillId="0" borderId="2" xfId="0" applyNumberFormat="1" applyBorder="1" applyAlignment="1">
      <alignment horizontal="center"/>
    </xf>
    <xf numFmtId="0" fontId="0" fillId="0" borderId="12" xfId="0" applyNumberFormat="1" applyBorder="1" applyAlignment="1">
      <alignment horizontal="center"/>
    </xf>
    <xf numFmtId="0" fontId="0" fillId="0" borderId="2" xfId="1" applyNumberFormat="1" applyFont="1" applyBorder="1" applyAlignment="1">
      <alignment horizontal="center"/>
    </xf>
    <xf numFmtId="0" fontId="0" fillId="0" borderId="12" xfId="1" applyNumberFormat="1" applyFont="1" applyBorder="1" applyAlignment="1">
      <alignment horizontal="center"/>
    </xf>
    <xf numFmtId="0" fontId="0" fillId="0" borderId="15" xfId="1" applyNumberFormat="1" applyFont="1" applyBorder="1" applyAlignment="1">
      <alignment horizontal="center"/>
    </xf>
    <xf numFmtId="0" fontId="0" fillId="0" borderId="16" xfId="1" applyNumberFormat="1" applyFont="1" applyBorder="1" applyAlignment="1">
      <alignment horizontal="center"/>
    </xf>
    <xf numFmtId="0" fontId="5" fillId="5" borderId="20" xfId="0" applyFont="1" applyFill="1" applyBorder="1" applyAlignment="1"/>
    <xf numFmtId="0" fontId="5" fillId="5" borderId="20" xfId="0" applyFont="1" applyFill="1" applyBorder="1"/>
    <xf numFmtId="0" fontId="5" fillId="5" borderId="22" xfId="0" applyFont="1" applyFill="1" applyBorder="1"/>
    <xf numFmtId="0" fontId="5" fillId="6" borderId="2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4" fillId="4" borderId="1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tabSelected="1" workbookViewId="0">
      <selection activeCell="I5" sqref="I5:J5"/>
    </sheetView>
  </sheetViews>
  <sheetFormatPr defaultRowHeight="14.25"/>
  <cols>
    <col min="1" max="1" width="12" style="25" customWidth="1"/>
    <col min="2" max="2" width="32" style="25" customWidth="1"/>
    <col min="3" max="3" width="18" style="25" customWidth="1"/>
    <col min="4" max="4" width="12" style="25" customWidth="1"/>
    <col min="5" max="5" width="16" style="25" customWidth="1"/>
    <col min="6" max="6" width="16" customWidth="1"/>
    <col min="9" max="9" width="16" customWidth="1"/>
    <col min="10" max="10" width="20.625" customWidth="1"/>
    <col min="11" max="11" width="14" customWidth="1"/>
    <col min="12" max="12" width="13.25" customWidth="1"/>
    <col min="15" max="15" width="14.375" customWidth="1"/>
  </cols>
  <sheetData>
    <row r="1" spans="1:12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</row>
    <row r="2" spans="1:12" ht="15" thickBot="1">
      <c r="A2" s="25">
        <v>3001</v>
      </c>
      <c r="B2" s="25" t="s">
        <v>5</v>
      </c>
      <c r="C2" s="25" t="s">
        <v>6</v>
      </c>
      <c r="D2" s="25">
        <v>4</v>
      </c>
      <c r="E2" s="25">
        <v>45.9</v>
      </c>
    </row>
    <row r="3" spans="1:12" ht="15.75" customHeight="1">
      <c r="A3" s="25">
        <v>3002</v>
      </c>
      <c r="B3" s="25" t="s">
        <v>7</v>
      </c>
      <c r="C3" s="25" t="s">
        <v>6</v>
      </c>
      <c r="D3" s="25">
        <v>7</v>
      </c>
      <c r="E3" s="25">
        <v>149.9</v>
      </c>
      <c r="I3" s="6" t="s">
        <v>84</v>
      </c>
      <c r="J3" s="7"/>
      <c r="K3" s="7"/>
      <c r="L3" s="8"/>
    </row>
    <row r="4" spans="1:12">
      <c r="A4" s="25">
        <v>3003</v>
      </c>
      <c r="B4" s="25" t="s">
        <v>8</v>
      </c>
      <c r="C4" s="25" t="s">
        <v>6</v>
      </c>
      <c r="D4" s="25">
        <v>10</v>
      </c>
      <c r="E4" s="25">
        <v>29.9</v>
      </c>
      <c r="I4" s="9"/>
      <c r="J4" s="4"/>
      <c r="K4" s="4"/>
      <c r="L4" s="10"/>
    </row>
    <row r="5" spans="1:12" ht="15.75">
      <c r="A5" s="25">
        <v>3004</v>
      </c>
      <c r="B5" s="25" t="s">
        <v>9</v>
      </c>
      <c r="C5" s="25" t="s">
        <v>6</v>
      </c>
      <c r="D5" s="25">
        <v>13</v>
      </c>
      <c r="E5" s="25">
        <v>89.9</v>
      </c>
      <c r="I5" s="11" t="s">
        <v>85</v>
      </c>
      <c r="J5" s="3"/>
      <c r="K5" s="2" t="s">
        <v>92</v>
      </c>
      <c r="L5" s="12"/>
    </row>
    <row r="6" spans="1:12">
      <c r="A6" s="25">
        <v>3005</v>
      </c>
      <c r="B6" s="25" t="s">
        <v>10</v>
      </c>
      <c r="C6" s="25" t="s">
        <v>6</v>
      </c>
      <c r="D6" s="25">
        <v>16</v>
      </c>
      <c r="E6" s="25">
        <v>59.9</v>
      </c>
      <c r="I6" s="13" t="s">
        <v>93</v>
      </c>
      <c r="J6" s="5"/>
      <c r="K6" s="26"/>
      <c r="L6" s="27"/>
    </row>
    <row r="7" spans="1:12">
      <c r="A7" s="25">
        <v>3006</v>
      </c>
      <c r="B7" s="25" t="s">
        <v>11</v>
      </c>
      <c r="C7" s="25" t="s">
        <v>12</v>
      </c>
      <c r="D7" s="25">
        <v>19</v>
      </c>
      <c r="E7" s="25">
        <v>19.899999999999999</v>
      </c>
      <c r="I7" s="13" t="s">
        <v>88</v>
      </c>
      <c r="J7" s="5"/>
      <c r="K7" s="26"/>
      <c r="L7" s="27"/>
    </row>
    <row r="8" spans="1:12">
      <c r="A8" s="25">
        <v>3007</v>
      </c>
      <c r="B8" s="25" t="s">
        <v>13</v>
      </c>
      <c r="C8" s="25" t="s">
        <v>12</v>
      </c>
      <c r="D8" s="25">
        <v>22</v>
      </c>
      <c r="E8" s="25">
        <v>49.9</v>
      </c>
      <c r="I8" s="13" t="s">
        <v>89</v>
      </c>
      <c r="J8" s="5"/>
      <c r="K8" s="28"/>
      <c r="L8" s="29"/>
    </row>
    <row r="9" spans="1:12" ht="15" thickBot="1">
      <c r="A9" s="25">
        <v>3008</v>
      </c>
      <c r="B9" s="25" t="s">
        <v>14</v>
      </c>
      <c r="C9" s="25" t="s">
        <v>6</v>
      </c>
      <c r="D9" s="25">
        <v>25</v>
      </c>
      <c r="E9" s="25">
        <v>119.9</v>
      </c>
      <c r="I9" s="14" t="s">
        <v>90</v>
      </c>
      <c r="J9" s="15"/>
      <c r="K9" s="30"/>
      <c r="L9" s="31"/>
    </row>
    <row r="10" spans="1:12">
      <c r="A10" s="25">
        <v>3009</v>
      </c>
      <c r="B10" s="25" t="s">
        <v>15</v>
      </c>
      <c r="C10" s="25" t="s">
        <v>6</v>
      </c>
      <c r="D10" s="25">
        <v>28</v>
      </c>
      <c r="E10" s="25">
        <v>99.9</v>
      </c>
    </row>
    <row r="11" spans="1:12">
      <c r="A11" s="25">
        <v>3010</v>
      </c>
      <c r="B11" s="25" t="s">
        <v>16</v>
      </c>
      <c r="C11" s="25" t="s">
        <v>6</v>
      </c>
      <c r="D11" s="25">
        <v>31</v>
      </c>
      <c r="E11" s="25">
        <v>129.9</v>
      </c>
    </row>
    <row r="12" spans="1:12" ht="15" thickBot="1">
      <c r="A12" s="25">
        <v>3011</v>
      </c>
      <c r="B12" s="25" t="s">
        <v>17</v>
      </c>
      <c r="C12" s="25" t="s">
        <v>6</v>
      </c>
      <c r="D12" s="25">
        <v>34</v>
      </c>
      <c r="E12" s="25">
        <v>189.9</v>
      </c>
    </row>
    <row r="13" spans="1:12" ht="15.75">
      <c r="A13" s="25">
        <v>3012</v>
      </c>
      <c r="B13" s="25" t="s">
        <v>18</v>
      </c>
      <c r="C13" s="25" t="s">
        <v>6</v>
      </c>
      <c r="D13" s="25">
        <v>37</v>
      </c>
      <c r="E13" s="25">
        <v>159.9</v>
      </c>
      <c r="I13" s="17" t="s">
        <v>95</v>
      </c>
      <c r="J13" s="18"/>
      <c r="K13" s="19"/>
    </row>
    <row r="14" spans="1:12" ht="15.75">
      <c r="A14" s="25">
        <v>3013</v>
      </c>
      <c r="B14" s="25" t="s">
        <v>19</v>
      </c>
      <c r="C14" s="25" t="s">
        <v>6</v>
      </c>
      <c r="D14" s="25">
        <v>40</v>
      </c>
      <c r="E14" s="25">
        <v>79.900000000000006</v>
      </c>
      <c r="I14" s="20" t="s">
        <v>1</v>
      </c>
      <c r="J14" s="16"/>
      <c r="K14" s="21" t="s">
        <v>94</v>
      </c>
    </row>
    <row r="15" spans="1:12" ht="15" thickBot="1">
      <c r="A15" s="25">
        <v>3014</v>
      </c>
      <c r="B15" s="25" t="s">
        <v>20</v>
      </c>
      <c r="C15" s="25" t="s">
        <v>21</v>
      </c>
      <c r="D15" s="25">
        <v>3</v>
      </c>
      <c r="E15" s="25">
        <v>499.9</v>
      </c>
      <c r="I15" s="22"/>
      <c r="J15" s="23"/>
      <c r="K15" s="24"/>
    </row>
    <row r="16" spans="1:12">
      <c r="A16" s="25">
        <v>3015</v>
      </c>
      <c r="B16" s="25" t="s">
        <v>22</v>
      </c>
      <c r="C16" s="25" t="s">
        <v>21</v>
      </c>
      <c r="D16" s="25">
        <v>6</v>
      </c>
      <c r="E16" s="25">
        <v>649.9</v>
      </c>
    </row>
    <row r="17" spans="1:11">
      <c r="A17" s="25">
        <v>3016</v>
      </c>
      <c r="B17" s="25" t="s">
        <v>23</v>
      </c>
      <c r="C17" s="25" t="s">
        <v>21</v>
      </c>
      <c r="D17" s="25">
        <v>9</v>
      </c>
      <c r="E17" s="25">
        <v>899.9</v>
      </c>
    </row>
    <row r="18" spans="1:11" ht="15" thickBot="1">
      <c r="A18" s="25">
        <v>3017</v>
      </c>
      <c r="B18" s="25" t="s">
        <v>24</v>
      </c>
      <c r="C18" s="25" t="s">
        <v>21</v>
      </c>
      <c r="D18" s="25">
        <v>12</v>
      </c>
      <c r="E18" s="25">
        <v>1299.9000000000001</v>
      </c>
    </row>
    <row r="19" spans="1:11" ht="15.75">
      <c r="A19" s="25">
        <v>3018</v>
      </c>
      <c r="B19" s="25" t="s">
        <v>25</v>
      </c>
      <c r="C19" s="25" t="s">
        <v>21</v>
      </c>
      <c r="D19" s="25">
        <v>15</v>
      </c>
      <c r="E19" s="25">
        <v>1799.9</v>
      </c>
      <c r="I19" s="44" t="s">
        <v>100</v>
      </c>
      <c r="J19" s="45"/>
      <c r="K19" s="46"/>
    </row>
    <row r="20" spans="1:11">
      <c r="A20" s="25">
        <v>3019</v>
      </c>
      <c r="B20" s="25" t="s">
        <v>26</v>
      </c>
      <c r="C20" s="25" t="s">
        <v>27</v>
      </c>
      <c r="D20" s="25">
        <v>18</v>
      </c>
      <c r="E20" s="25">
        <v>2199.9</v>
      </c>
      <c r="I20" s="41" t="s">
        <v>96</v>
      </c>
      <c r="J20" s="42"/>
      <c r="K20" s="43"/>
    </row>
    <row r="21" spans="1:11" ht="15">
      <c r="A21" s="25">
        <v>3020</v>
      </c>
      <c r="B21" s="25" t="s">
        <v>28</v>
      </c>
      <c r="C21" s="25" t="s">
        <v>27</v>
      </c>
      <c r="D21" s="25">
        <v>21</v>
      </c>
      <c r="E21" s="25">
        <v>3299.9</v>
      </c>
      <c r="I21" s="32" t="s">
        <v>97</v>
      </c>
      <c r="J21" s="35">
        <v>3001</v>
      </c>
      <c r="K21" s="36"/>
    </row>
    <row r="22" spans="1:11" ht="15">
      <c r="A22" s="25">
        <v>3021</v>
      </c>
      <c r="B22" s="25" t="s">
        <v>29</v>
      </c>
      <c r="C22" s="25" t="s">
        <v>27</v>
      </c>
      <c r="D22" s="25">
        <v>24</v>
      </c>
      <c r="E22" s="25">
        <v>4599.8999999999996</v>
      </c>
      <c r="I22" s="33" t="s">
        <v>1</v>
      </c>
      <c r="J22" s="37"/>
      <c r="K22" s="38"/>
    </row>
    <row r="23" spans="1:11" ht="15">
      <c r="A23" s="25">
        <v>3022</v>
      </c>
      <c r="B23" s="25" t="s">
        <v>30</v>
      </c>
      <c r="C23" s="25" t="s">
        <v>27</v>
      </c>
      <c r="D23" s="25">
        <v>27</v>
      </c>
      <c r="E23" s="25">
        <v>5999.9</v>
      </c>
      <c r="I23" s="33" t="s">
        <v>2</v>
      </c>
      <c r="J23" s="37"/>
      <c r="K23" s="38"/>
    </row>
    <row r="24" spans="1:11" ht="14.25" customHeight="1">
      <c r="A24" s="25">
        <v>3023</v>
      </c>
      <c r="B24" s="25" t="s">
        <v>31</v>
      </c>
      <c r="C24" s="25" t="s">
        <v>27</v>
      </c>
      <c r="D24" s="25">
        <v>30</v>
      </c>
      <c r="E24" s="25">
        <v>2599.9</v>
      </c>
      <c r="I24" s="33" t="s">
        <v>99</v>
      </c>
      <c r="J24" s="37"/>
      <c r="K24" s="38"/>
    </row>
    <row r="25" spans="1:11" ht="15.75" thickBot="1">
      <c r="A25" s="25">
        <v>3024</v>
      </c>
      <c r="B25" s="25" t="s">
        <v>32</v>
      </c>
      <c r="C25" s="25" t="s">
        <v>27</v>
      </c>
      <c r="D25" s="25">
        <v>33</v>
      </c>
      <c r="E25" s="25">
        <v>1899.9</v>
      </c>
      <c r="I25" s="34" t="s">
        <v>98</v>
      </c>
      <c r="J25" s="39"/>
      <c r="K25" s="40"/>
    </row>
    <row r="26" spans="1:11">
      <c r="A26" s="25">
        <v>3025</v>
      </c>
      <c r="B26" s="25" t="s">
        <v>33</v>
      </c>
      <c r="C26" s="25" t="s">
        <v>34</v>
      </c>
      <c r="D26" s="25">
        <v>36</v>
      </c>
      <c r="E26" s="25">
        <v>399.9</v>
      </c>
    </row>
    <row r="27" spans="1:11">
      <c r="A27" s="25">
        <v>3026</v>
      </c>
      <c r="B27" s="25" t="s">
        <v>35</v>
      </c>
      <c r="C27" s="25" t="s">
        <v>34</v>
      </c>
      <c r="D27" s="25">
        <v>39</v>
      </c>
      <c r="E27" s="25">
        <v>899.9</v>
      </c>
    </row>
    <row r="28" spans="1:11">
      <c r="A28" s="25">
        <v>3027</v>
      </c>
      <c r="B28" s="25" t="s">
        <v>36</v>
      </c>
      <c r="C28" s="25" t="s">
        <v>34</v>
      </c>
      <c r="D28" s="25">
        <v>2</v>
      </c>
      <c r="E28" s="25">
        <v>649.9</v>
      </c>
    </row>
    <row r="29" spans="1:11">
      <c r="A29" s="25">
        <v>3028</v>
      </c>
      <c r="B29" s="25" t="s">
        <v>37</v>
      </c>
      <c r="C29" s="25" t="s">
        <v>34</v>
      </c>
      <c r="D29" s="25">
        <v>5</v>
      </c>
      <c r="E29" s="25">
        <v>1199.9000000000001</v>
      </c>
    </row>
    <row r="30" spans="1:11">
      <c r="A30" s="25">
        <v>3029</v>
      </c>
      <c r="B30" s="25" t="s">
        <v>38</v>
      </c>
      <c r="C30" s="25" t="s">
        <v>34</v>
      </c>
      <c r="D30" s="25">
        <v>8</v>
      </c>
      <c r="E30" s="25">
        <v>1899.9</v>
      </c>
    </row>
    <row r="31" spans="1:11">
      <c r="A31" s="25">
        <v>3030</v>
      </c>
      <c r="B31" s="25" t="s">
        <v>39</v>
      </c>
      <c r="C31" s="25" t="s">
        <v>34</v>
      </c>
      <c r="D31" s="25">
        <v>11</v>
      </c>
      <c r="E31" s="25">
        <v>999.9</v>
      </c>
    </row>
    <row r="32" spans="1:11">
      <c r="A32" s="25">
        <v>3031</v>
      </c>
      <c r="B32" s="25" t="s">
        <v>40</v>
      </c>
      <c r="C32" s="25" t="s">
        <v>34</v>
      </c>
      <c r="D32" s="25">
        <v>14</v>
      </c>
      <c r="E32" s="25">
        <v>1699.9</v>
      </c>
    </row>
    <row r="33" spans="1:5">
      <c r="A33" s="25">
        <v>3032</v>
      </c>
      <c r="B33" s="25" t="s">
        <v>41</v>
      </c>
      <c r="C33" s="25" t="s">
        <v>34</v>
      </c>
      <c r="D33" s="25">
        <v>17</v>
      </c>
      <c r="E33" s="25">
        <v>89.9</v>
      </c>
    </row>
    <row r="34" spans="1:5">
      <c r="A34" s="25">
        <v>3033</v>
      </c>
      <c r="B34" s="25" t="s">
        <v>42</v>
      </c>
      <c r="C34" s="25" t="s">
        <v>34</v>
      </c>
      <c r="D34" s="25">
        <v>20</v>
      </c>
      <c r="E34" s="25">
        <v>159.9</v>
      </c>
    </row>
    <row r="35" spans="1:5">
      <c r="A35" s="25">
        <v>3034</v>
      </c>
      <c r="B35" s="25" t="s">
        <v>43</v>
      </c>
      <c r="C35" s="25" t="s">
        <v>34</v>
      </c>
      <c r="D35" s="25">
        <v>23</v>
      </c>
      <c r="E35" s="25">
        <v>299.89999999999998</v>
      </c>
    </row>
    <row r="36" spans="1:5">
      <c r="A36" s="25">
        <v>3035</v>
      </c>
      <c r="B36" s="25" t="s">
        <v>44</v>
      </c>
      <c r="C36" s="25" t="s">
        <v>34</v>
      </c>
      <c r="D36" s="25">
        <v>26</v>
      </c>
      <c r="E36" s="25">
        <v>899.9</v>
      </c>
    </row>
    <row r="37" spans="1:5">
      <c r="A37" s="25">
        <v>3036</v>
      </c>
      <c r="B37" s="25" t="s">
        <v>45</v>
      </c>
      <c r="C37" s="25" t="s">
        <v>34</v>
      </c>
      <c r="D37" s="25">
        <v>29</v>
      </c>
      <c r="E37" s="25">
        <v>1899.9</v>
      </c>
    </row>
    <row r="38" spans="1:5">
      <c r="A38" s="25">
        <v>3037</v>
      </c>
      <c r="B38" s="25" t="s">
        <v>46</v>
      </c>
      <c r="C38" s="25" t="s">
        <v>34</v>
      </c>
      <c r="D38" s="25">
        <v>32</v>
      </c>
      <c r="E38" s="25">
        <v>179.9</v>
      </c>
    </row>
    <row r="39" spans="1:5">
      <c r="A39" s="25">
        <v>3038</v>
      </c>
      <c r="B39" s="25" t="s">
        <v>47</v>
      </c>
      <c r="C39" s="25" t="s">
        <v>34</v>
      </c>
      <c r="D39" s="25">
        <v>35</v>
      </c>
      <c r="E39" s="25">
        <v>249.9</v>
      </c>
    </row>
    <row r="40" spans="1:5">
      <c r="A40" s="25">
        <v>3039</v>
      </c>
      <c r="B40" s="25" t="s">
        <v>48</v>
      </c>
      <c r="C40" s="25" t="s">
        <v>34</v>
      </c>
      <c r="D40" s="25">
        <v>38</v>
      </c>
      <c r="E40" s="25">
        <v>449.9</v>
      </c>
    </row>
    <row r="41" spans="1:5">
      <c r="A41" s="25">
        <v>3040</v>
      </c>
      <c r="B41" s="25" t="s">
        <v>49</v>
      </c>
      <c r="C41" s="25" t="s">
        <v>34</v>
      </c>
      <c r="D41" s="25">
        <v>1</v>
      </c>
      <c r="E41" s="25">
        <v>89.9</v>
      </c>
    </row>
    <row r="42" spans="1:5">
      <c r="A42" s="25">
        <v>3041</v>
      </c>
      <c r="B42" s="25" t="s">
        <v>50</v>
      </c>
      <c r="C42" s="25" t="s">
        <v>34</v>
      </c>
      <c r="D42" s="25">
        <v>4</v>
      </c>
      <c r="E42" s="25">
        <v>399.9</v>
      </c>
    </row>
    <row r="43" spans="1:5">
      <c r="A43" s="25">
        <v>3042</v>
      </c>
      <c r="B43" s="25" t="s">
        <v>51</v>
      </c>
      <c r="C43" s="25" t="s">
        <v>52</v>
      </c>
      <c r="D43" s="25">
        <v>7</v>
      </c>
      <c r="E43" s="25">
        <v>159.9</v>
      </c>
    </row>
    <row r="44" spans="1:5">
      <c r="A44" s="25">
        <v>3043</v>
      </c>
      <c r="B44" s="25" t="s">
        <v>53</v>
      </c>
      <c r="C44" s="25" t="s">
        <v>52</v>
      </c>
      <c r="D44" s="25">
        <v>10</v>
      </c>
      <c r="E44" s="25">
        <v>279.89999999999998</v>
      </c>
    </row>
    <row r="45" spans="1:5">
      <c r="A45" s="25">
        <v>3044</v>
      </c>
      <c r="B45" s="25" t="s">
        <v>54</v>
      </c>
      <c r="C45" s="25" t="s">
        <v>52</v>
      </c>
      <c r="D45" s="25">
        <v>13</v>
      </c>
      <c r="E45" s="25">
        <v>429.9</v>
      </c>
    </row>
    <row r="46" spans="1:5">
      <c r="A46" s="25">
        <v>3045</v>
      </c>
      <c r="B46" s="25" t="s">
        <v>55</v>
      </c>
      <c r="C46" s="25" t="s">
        <v>52</v>
      </c>
      <c r="D46" s="25">
        <v>16</v>
      </c>
      <c r="E46" s="25">
        <v>89.9</v>
      </c>
    </row>
    <row r="47" spans="1:5">
      <c r="A47" s="25">
        <v>3046</v>
      </c>
      <c r="B47" s="25" t="s">
        <v>56</v>
      </c>
      <c r="C47" s="25" t="s">
        <v>52</v>
      </c>
      <c r="D47" s="25">
        <v>19</v>
      </c>
      <c r="E47" s="25">
        <v>139.9</v>
      </c>
    </row>
    <row r="48" spans="1:5">
      <c r="A48" s="25">
        <v>3047</v>
      </c>
      <c r="B48" s="25" t="s">
        <v>57</v>
      </c>
      <c r="C48" s="25" t="s">
        <v>52</v>
      </c>
      <c r="D48" s="25">
        <v>22</v>
      </c>
      <c r="E48" s="25">
        <v>229.9</v>
      </c>
    </row>
    <row r="49" spans="1:5">
      <c r="A49" s="25">
        <v>3048</v>
      </c>
      <c r="B49" s="25" t="s">
        <v>58</v>
      </c>
      <c r="C49" s="25" t="s">
        <v>52</v>
      </c>
      <c r="D49" s="25">
        <v>25</v>
      </c>
      <c r="E49" s="25">
        <v>399.9</v>
      </c>
    </row>
    <row r="50" spans="1:5">
      <c r="A50" s="25">
        <v>3049</v>
      </c>
      <c r="B50" s="25" t="s">
        <v>59</v>
      </c>
      <c r="C50" s="25" t="s">
        <v>52</v>
      </c>
      <c r="D50" s="25">
        <v>28</v>
      </c>
      <c r="E50" s="25">
        <v>269.89999999999998</v>
      </c>
    </row>
    <row r="51" spans="1:5">
      <c r="A51" s="25">
        <v>3050</v>
      </c>
      <c r="B51" s="25" t="s">
        <v>60</v>
      </c>
      <c r="C51" s="25" t="s">
        <v>52</v>
      </c>
      <c r="D51" s="25">
        <v>31</v>
      </c>
      <c r="E51" s="25">
        <v>499.9</v>
      </c>
    </row>
    <row r="52" spans="1:5">
      <c r="A52" s="25">
        <v>3051</v>
      </c>
      <c r="B52" s="25" t="s">
        <v>61</v>
      </c>
      <c r="C52" s="25" t="s">
        <v>52</v>
      </c>
      <c r="D52" s="25">
        <v>34</v>
      </c>
      <c r="E52" s="25">
        <v>24.9</v>
      </c>
    </row>
    <row r="53" spans="1:5">
      <c r="A53" s="25">
        <v>3052</v>
      </c>
      <c r="B53" s="25" t="s">
        <v>62</v>
      </c>
      <c r="C53" s="25" t="s">
        <v>52</v>
      </c>
      <c r="D53" s="25">
        <v>37</v>
      </c>
      <c r="E53" s="25">
        <v>34.9</v>
      </c>
    </row>
    <row r="54" spans="1:5">
      <c r="A54" s="25">
        <v>3053</v>
      </c>
      <c r="B54" s="25" t="s">
        <v>63</v>
      </c>
      <c r="C54" s="25" t="s">
        <v>52</v>
      </c>
      <c r="D54" s="25">
        <v>40</v>
      </c>
      <c r="E54" s="25">
        <v>49.9</v>
      </c>
    </row>
    <row r="55" spans="1:5">
      <c r="A55" s="25">
        <v>3054</v>
      </c>
      <c r="B55" s="25" t="s">
        <v>64</v>
      </c>
      <c r="C55" s="25" t="s">
        <v>52</v>
      </c>
      <c r="D55" s="25">
        <v>3</v>
      </c>
      <c r="E55" s="25">
        <v>39.9</v>
      </c>
    </row>
    <row r="56" spans="1:5">
      <c r="A56" s="25">
        <v>3055</v>
      </c>
      <c r="B56" s="25" t="s">
        <v>65</v>
      </c>
      <c r="C56" s="25" t="s">
        <v>66</v>
      </c>
      <c r="D56" s="25">
        <v>6</v>
      </c>
      <c r="E56" s="25">
        <v>149.9</v>
      </c>
    </row>
    <row r="57" spans="1:5">
      <c r="A57" s="25">
        <v>3056</v>
      </c>
      <c r="B57" s="25" t="s">
        <v>67</v>
      </c>
      <c r="C57" s="25" t="s">
        <v>66</v>
      </c>
      <c r="D57" s="25">
        <v>9</v>
      </c>
      <c r="E57" s="25">
        <v>249.9</v>
      </c>
    </row>
    <row r="58" spans="1:5">
      <c r="A58" s="25">
        <v>3057</v>
      </c>
      <c r="B58" s="25" t="s">
        <v>68</v>
      </c>
      <c r="C58" s="25" t="s">
        <v>66</v>
      </c>
      <c r="D58" s="25">
        <v>12</v>
      </c>
      <c r="E58" s="25">
        <v>189.9</v>
      </c>
    </row>
    <row r="59" spans="1:5">
      <c r="A59" s="25">
        <v>3058</v>
      </c>
      <c r="B59" s="25" t="s">
        <v>69</v>
      </c>
      <c r="C59" s="25" t="s">
        <v>66</v>
      </c>
      <c r="D59" s="25">
        <v>15</v>
      </c>
      <c r="E59" s="25">
        <v>14.9</v>
      </c>
    </row>
    <row r="60" spans="1:5">
      <c r="A60" s="25">
        <v>3059</v>
      </c>
      <c r="B60" s="25" t="s">
        <v>70</v>
      </c>
      <c r="C60" s="25" t="s">
        <v>66</v>
      </c>
      <c r="D60" s="25">
        <v>18</v>
      </c>
      <c r="E60" s="25">
        <v>59.9</v>
      </c>
    </row>
    <row r="61" spans="1:5">
      <c r="A61" s="25">
        <v>3060</v>
      </c>
      <c r="B61" s="25" t="s">
        <v>71</v>
      </c>
      <c r="C61" s="25" t="s">
        <v>12</v>
      </c>
      <c r="D61" s="25">
        <v>21</v>
      </c>
      <c r="E61" s="25">
        <v>29.9</v>
      </c>
    </row>
    <row r="62" spans="1:5">
      <c r="A62" s="25">
        <v>3061</v>
      </c>
      <c r="B62" s="25" t="s">
        <v>72</v>
      </c>
      <c r="C62" s="25" t="s">
        <v>12</v>
      </c>
      <c r="D62" s="25">
        <v>24</v>
      </c>
      <c r="E62" s="25">
        <v>24.9</v>
      </c>
    </row>
    <row r="63" spans="1:5">
      <c r="A63" s="25">
        <v>3062</v>
      </c>
      <c r="B63" s="25" t="s">
        <v>73</v>
      </c>
      <c r="C63" s="25" t="s">
        <v>12</v>
      </c>
      <c r="D63" s="25">
        <v>27</v>
      </c>
      <c r="E63" s="25">
        <v>49.9</v>
      </c>
    </row>
    <row r="64" spans="1:5">
      <c r="A64" s="25">
        <v>3063</v>
      </c>
      <c r="B64" s="25" t="s">
        <v>74</v>
      </c>
      <c r="C64" s="25" t="s">
        <v>12</v>
      </c>
      <c r="D64" s="25">
        <v>30</v>
      </c>
      <c r="E64" s="25">
        <v>69.900000000000006</v>
      </c>
    </row>
    <row r="65" spans="1:5">
      <c r="A65" s="25">
        <v>3064</v>
      </c>
      <c r="B65" s="25" t="s">
        <v>75</v>
      </c>
      <c r="C65" s="25" t="s">
        <v>12</v>
      </c>
      <c r="D65" s="25">
        <v>33</v>
      </c>
      <c r="E65" s="25">
        <v>39.9</v>
      </c>
    </row>
    <row r="66" spans="1:5">
      <c r="A66" s="25">
        <v>3065</v>
      </c>
      <c r="B66" s="25" t="s">
        <v>76</v>
      </c>
      <c r="C66" s="25" t="s">
        <v>12</v>
      </c>
      <c r="D66" s="25">
        <v>36</v>
      </c>
      <c r="E66" s="25">
        <v>89.9</v>
      </c>
    </row>
    <row r="67" spans="1:5">
      <c r="A67" s="25">
        <v>3066</v>
      </c>
      <c r="B67" s="25" t="s">
        <v>77</v>
      </c>
      <c r="C67" s="25" t="s">
        <v>12</v>
      </c>
      <c r="D67" s="25">
        <v>39</v>
      </c>
      <c r="E67" s="25">
        <v>119.9</v>
      </c>
    </row>
    <row r="68" spans="1:5">
      <c r="A68" s="25">
        <v>3067</v>
      </c>
      <c r="B68" s="25" t="s">
        <v>78</v>
      </c>
      <c r="C68" s="25" t="s">
        <v>79</v>
      </c>
      <c r="D68" s="25">
        <v>2</v>
      </c>
      <c r="E68" s="25">
        <v>219.9</v>
      </c>
    </row>
    <row r="69" spans="1:5">
      <c r="A69" s="25">
        <v>3068</v>
      </c>
      <c r="B69" s="25" t="s">
        <v>80</v>
      </c>
      <c r="C69" s="25" t="s">
        <v>79</v>
      </c>
      <c r="D69" s="25">
        <v>5</v>
      </c>
      <c r="E69" s="25">
        <v>499.9</v>
      </c>
    </row>
    <row r="70" spans="1:5">
      <c r="A70" s="25">
        <v>3069</v>
      </c>
      <c r="B70" s="25" t="s">
        <v>81</v>
      </c>
      <c r="C70" s="25" t="s">
        <v>82</v>
      </c>
      <c r="D70" s="25">
        <v>8</v>
      </c>
      <c r="E70" s="25">
        <v>29.9</v>
      </c>
    </row>
    <row r="71" spans="1:5">
      <c r="A71" s="25">
        <v>3070</v>
      </c>
      <c r="B71" s="25" t="s">
        <v>83</v>
      </c>
      <c r="C71" s="25" t="s">
        <v>82</v>
      </c>
      <c r="D71" s="25">
        <v>11</v>
      </c>
      <c r="E71" s="25">
        <v>34.9</v>
      </c>
    </row>
  </sheetData>
  <mergeCells count="21">
    <mergeCell ref="I20:K20"/>
    <mergeCell ref="J21:K21"/>
    <mergeCell ref="I19:K19"/>
    <mergeCell ref="J25:K25"/>
    <mergeCell ref="J24:K24"/>
    <mergeCell ref="J23:K23"/>
    <mergeCell ref="J22:K22"/>
    <mergeCell ref="I14:J14"/>
    <mergeCell ref="I13:K13"/>
    <mergeCell ref="I15:J15"/>
    <mergeCell ref="I8:J8"/>
    <mergeCell ref="I9:J9"/>
    <mergeCell ref="K6:L6"/>
    <mergeCell ref="K7:L7"/>
    <mergeCell ref="K8:L8"/>
    <mergeCell ref="K9:L9"/>
    <mergeCell ref="I5:J5"/>
    <mergeCell ref="K5:L5"/>
    <mergeCell ref="I6:J6"/>
    <mergeCell ref="I7:J7"/>
    <mergeCell ref="I3:L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4" sqref="B4"/>
    </sheetView>
  </sheetViews>
  <sheetFormatPr defaultRowHeight="14.25"/>
  <cols>
    <col min="1" max="1" width="34" customWidth="1"/>
    <col min="2" max="2" width="24" customWidth="1"/>
  </cols>
  <sheetData>
    <row r="1" spans="1:2">
      <c r="A1" t="s">
        <v>84</v>
      </c>
    </row>
    <row r="3" spans="1:2" ht="15">
      <c r="A3" s="1" t="s">
        <v>85</v>
      </c>
      <c r="B3" s="1" t="s">
        <v>86</v>
      </c>
    </row>
    <row r="4" spans="1:2">
      <c r="A4" t="s">
        <v>87</v>
      </c>
      <c r="B4">
        <f>SUM(Produtos!F2:F71)</f>
        <v>0</v>
      </c>
    </row>
    <row r="5" spans="1:2">
      <c r="A5" t="s">
        <v>88</v>
      </c>
      <c r="B5">
        <f>AVERAGE(Produtos!E2:E71)</f>
        <v>628.05714285714384</v>
      </c>
    </row>
    <row r="6" spans="1:2">
      <c r="A6" t="s">
        <v>89</v>
      </c>
      <c r="B6">
        <f>MAX(Produtos!E2:E71)</f>
        <v>5999.9</v>
      </c>
    </row>
    <row r="7" spans="1:2">
      <c r="A7" t="s">
        <v>90</v>
      </c>
      <c r="B7">
        <f>MIN(Produtos!E2:E71)</f>
        <v>14.9</v>
      </c>
    </row>
    <row r="8" spans="1:2">
      <c r="A8" t="s">
        <v>91</v>
      </c>
      <c r="B8">
        <f>COUNTA(Produtos!B2:B71)</f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Produtos</vt:lpstr>
      <vt:lpstr>Resumo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Ermeson Barros</dc:creator>
  <cp:lastModifiedBy>Ermeson da Silva Barros</cp:lastModifiedBy>
  <dcterms:created xsi:type="dcterms:W3CDTF">2026-04-24T11:15:37Z</dcterms:created>
  <dcterms:modified xsi:type="dcterms:W3CDTF">2026-04-24T11:15:37Z</dcterms:modified>
</cp:coreProperties>
</file>